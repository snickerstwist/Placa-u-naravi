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04"/>
  <workbookPr/>
  <mc:AlternateContent xmlns:mc="http://schemas.openxmlformats.org/markup-compatibility/2006">
    <mc:Choice Requires="x15">
      <x15ac:absPath xmlns:x15ac="http://schemas.microsoft.com/office/spreadsheetml/2010/11/ac" url="C:\Users\horva\OneDrive\Desktop\Placa_u_naravi\"/>
    </mc:Choice>
  </mc:AlternateContent>
  <xr:revisionPtr revIDLastSave="0" documentId="13_ncr:1_{2A1EF6F4-1207-4744-BB22-21729A53D2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lkulacija plaće" sheetId="1" r:id="rId1"/>
  </sheets>
  <definedNames>
    <definedName name="Bp">'Kalkulacija plaće'!$D$2</definedName>
    <definedName name="D">'Kalkulacija plaće'!$D$6</definedName>
    <definedName name="KpN">NPS/(1-NPS)+1</definedName>
    <definedName name="KpV">VPS/(1-VPS)+1</definedName>
    <definedName name="N">'Kalkulacija plaće'!$D$13</definedName>
    <definedName name="NPS">0.23</definedName>
    <definedName name="O">'Kalkulacija plaće'!$D$7</definedName>
    <definedName name="VPS">0.33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7" i="1"/>
  <c r="C14" i="1"/>
  <c r="D6" i="1" a="1"/>
  <c r="D6" i="1" s="1"/>
  <c r="D2" i="1" s="1"/>
  <c r="C3" i="1" s="1" a="1"/>
  <c r="C3" i="1" s="1"/>
  <c r="E3" i="1" s="1"/>
  <c r="C15" i="1" l="1"/>
  <c r="C4" i="1"/>
  <c r="D8" i="1"/>
  <c r="C6" i="1" l="1"/>
  <c r="E6" i="1" s="1"/>
  <c r="C5" i="1"/>
  <c r="E2" i="1"/>
  <c r="D14" i="1"/>
  <c r="E14" i="1" s="1"/>
  <c r="D4" i="1" l="1"/>
  <c r="E4" i="1" s="1"/>
  <c r="D5" i="1" l="1"/>
  <c r="E5" i="1"/>
  <c r="C8" i="1"/>
  <c r="E8" i="1" l="1"/>
  <c r="D10" i="1"/>
  <c r="D9" i="1"/>
  <c r="C9" i="1"/>
  <c r="C10" i="1"/>
  <c r="D11" i="1" l="1"/>
  <c r="D15" i="1" s="1"/>
  <c r="E15" i="1" s="1"/>
  <c r="E10" i="1"/>
  <c r="E9" i="1"/>
  <c r="C11" i="1"/>
  <c r="C12" i="1" l="1"/>
  <c r="E12" i="1" s="1"/>
  <c r="E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<sst xmlns="http://schemas.openxmlformats.org/spreadsheetml/2006/main" count="33" uniqueCount="33">
  <si>
    <t>Red. br.</t>
  </si>
  <si>
    <t>1.</t>
  </si>
  <si>
    <t>2.</t>
  </si>
  <si>
    <t>PLAĆA(bruto)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</si>
  <si>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</si>
  <si>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</si>
  <si>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</si>
  <si>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</si>
  <si>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</si>
  <si>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</si>
  <si>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</si>
  <si>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</si>
  <si>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</si>
  <si>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</si>
  <si>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</si>
  <si>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</si>
  <si>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Osnovica za obračun doprinosa MIO I.</t>
  </si>
  <si>
    <t xml:space="preserve">Doprinosi za mirovinsko osiguranje : I. stup                                 II. stup                              </t>
  </si>
  <si>
    <t>DOHODAK</t>
  </si>
  <si>
    <t>Porezna osnovica</t>
  </si>
  <si>
    <t>Porez na dohodak po nižoj stopi</t>
  </si>
  <si>
    <t>Porez na dohodak po višoj stopi</t>
  </si>
  <si>
    <t>Ukupno porez</t>
  </si>
  <si>
    <t>Doprinos za obvezno zdrav. osig.</t>
  </si>
  <si>
    <t>UKUPNO TROŠAK POSLODAVCA</t>
  </si>
  <si>
    <t>Osobni odbitak</t>
  </si>
  <si>
    <t>Opis</t>
  </si>
  <si>
    <t>Plaća u naravi</t>
  </si>
  <si>
    <t>NETO PLAĆA</t>
  </si>
  <si>
    <t>Plaća u novcu</t>
  </si>
  <si>
    <t>IZNOS U NARAVI</t>
  </si>
  <si>
    <t>Umanjenje osnovice za obračun doprinosa za MIO I.</t>
  </si>
  <si>
    <t>Ukupna plaća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</si>
</sst>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</cellStyleXfs>
  <cellXfs count="17">
    <xf numFmtId="0" fontId="0" fillId="0" borderId="0" xfId="0"/>
    <xf numFmtId="0" fontId="0" fillId="0" borderId="0" xfId="0" applyProtection="1">
      <protection locked="0"/>
    </xf>
    <xf numFmtId="2" fontId="3" fillId="4" borderId="1" xfId="3" applyNumberFormat="1" applyProtection="1">
      <protection locked="0"/>
    </xf>
    <xf numFmtId="0" fontId="1" fillId="2" borderId="0" xfId="1" applyAlignment="1" applyProtection="1">
      <alignment horizontal="center" wrapText="1"/>
      <protection hidden="1"/>
    </xf>
    <xf numFmtId="0" fontId="1" fillId="2" borderId="0" xfId="1" applyAlignment="1" applyProtection="1">
      <alignment horizontal="center"/>
      <protection hidden="1"/>
    </xf>
    <xf numFmtId="49" fontId="2" fillId="3" borderId="2" xfId="2" applyNumberFormat="1" applyBorder="1" applyAlignment="1" applyProtection="1">
      <alignment horizontal="center"/>
      <protection hidden="1"/>
    </xf>
    <xf numFmtId="0" fontId="2" fillId="3" borderId="3" xfId="2" applyBorder="1" applyProtection="1">
      <protection hidden="1"/>
    </xf>
    <xf numFmtId="2" fontId="2" fillId="3" borderId="4" xfId="2" applyNumberFormat="1" applyBorder="1" applyProtection="1">
      <protection hidden="1"/>
    </xf>
    <xf numFmtId="49" fontId="2" fillId="3" borderId="5" xfId="2" applyNumberFormat="1" applyBorder="1" applyAlignment="1" applyProtection="1">
      <alignment horizontal="center"/>
      <protection hidden="1"/>
    </xf>
    <xf numFmtId="0" fontId="2" fillId="3" borderId="6" xfId="2" applyBorder="1" applyAlignment="1" applyProtection="1">
      <alignment wrapText="1"/>
      <protection hidden="1"/>
    </xf>
    <xf numFmtId="2" fontId="2" fillId="3" borderId="7" xfId="2" applyNumberFormat="1" applyBorder="1" applyProtection="1">
      <protection hidden="1"/>
    </xf>
    <xf numFmtId="2" fontId="2" fillId="3" borderId="7" xfId="2" applyNumberFormat="1" applyBorder="1" applyAlignment="1" applyProtection="1">
      <alignment horizontal="right" wrapText="1"/>
      <protection hidden="1"/>
    </xf>
    <xf numFmtId="0" fontId="2" fillId="3" borderId="6" xfId="2" applyBorder="1" applyProtection="1">
      <protection hidden="1"/>
    </xf>
    <xf numFmtId="49" fontId="2" fillId="3" borderId="8" xfId="2" applyNumberFormat="1" applyBorder="1" applyAlignment="1" applyProtection="1">
      <alignment horizontal="center"/>
      <protection hidden="1"/>
    </xf>
    <xf numFmtId="0" fontId="2" fillId="3" borderId="9" xfId="2" applyBorder="1" applyAlignment="1" applyProtection="1">
      <alignment wrapText="1"/>
      <protection hidden="1"/>
    </xf>
    <xf numFmtId="2" fontId="2" fillId="3" borderId="10" xfId="2" applyNumberFormat="1" applyBorder="1" applyProtection="1">
      <protection hidden="1"/>
    </xf>
    <xf numFmtId="2" fontId="0" fillId="0" borderId="0" xfId="0" applyNumberFormat="1" applyProtection="1">
      <protection locked="0"/>
    </xf>
  </cellXfs>
  <cellStyles count="4">
    <cellStyle name="Good" xfId="1" builtinId="26"/>
    <cellStyle name="Input" xfId="3" builtinId="20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workbookViewId="0">
      <selection activeCell="C2" sqref="C2"/>
    </sheetView>
  </sheetViews>
  <sheetFormatPr defaultRowHeight="15" x14ac:dyDescent="0.25"/>
  <cols>
    <col min="1" max="1" width="9.140625" style="1"/>
    <col min="2" max="2" width="21.42578125" style="1" customWidth="1"/>
    <col min="3" max="5" width="15.7109375" style="1" customWidth="1"/>
    <col min="6" max="16384" width="9.140625" style="1"/>
  </cols>
  <sheetData>
    <row r="1" spans="1:10" x14ac:dyDescent="0.25">
      <c r="A1" s="3" t="s">
        <v>0</v>
      </c>
      <c r="B1" s="4" t="s">
        <v>26</v>
      </c>
      <c r="C1" s="4" t="s">
        <v>29</v>
      </c>
      <c r="D1" s="4" t="s">
        <v>27</v>
      </c>
      <c r="E1" s="4" t="s">
        <v>32</v>
      </c>
      <c r="H1" s="16"/>
    </row>
    <row r="2" spans="1:10" x14ac:dyDescent="0.25">
      <c r="A2" s="5" t="s">
        <v>1</v>
      </c>
      <c r="B2" s="6" t="s">
        <v>3</v>
      </c>
      <c r="C2" s="2">
        <v>0</v>
      </c>
      <c r="D2" s="7">
        <f>D/0.8</f>
        <v>0</v>
      </c>
      <c r="E2" s="7">
        <f>C2+Bp</f>
        <v>0</v>
      </c>
    </row>
    <row r="3" spans="1:10" ht="45" x14ac:dyDescent="0.25">
      <c r="A3" s="8" t="s">
        <v>2</v>
      </c>
      <c r="B3" s="9" t="s">
        <v>31</v>
      </c>
      <c r="C3" s="10" cm="1">
        <f t="array" ref="C3">_xlfn.IFS(C2+Bp&lt;300,C2,C2+Bp&lt;=700,300,AND(C2+Bp&gt;700,C2+Bp&lt;1300),(1300-(C2+Bp))*0.5,C2+Bp&gt;1300,0)</f>
        <v>0</v>
      </c>
      <c r="D3" s="10"/>
      <c r="E3" s="7">
        <f>C3+D3</f>
        <v>0</v>
      </c>
    </row>
    <row r="4" spans="1:10" ht="30" x14ac:dyDescent="0.25">
      <c r="A4" s="8" t="s">
        <v>4</v>
      </c>
      <c r="B4" s="9" t="s">
        <v>16</v>
      </c>
      <c r="C4" s="10">
        <f>C2-C3</f>
        <v>0</v>
      </c>
      <c r="D4" s="10">
        <f>Bp-D3</f>
        <v>0</v>
      </c>
      <c r="E4" s="7">
        <f>C4+D4</f>
        <v>0</v>
      </c>
    </row>
    <row r="5" spans="1:10" ht="60" x14ac:dyDescent="0.25">
      <c r="A5" s="8" t="s">
        <v>5</v>
      </c>
      <c r="B5" s="9" t="s">
        <v>17</v>
      </c>
      <c r="C5" s="11" t="str">
        <f>TEXT(ROUND(C4*0.15+C2*0.05,2),"0.00")&amp;"                          "&amp;TEXT(ROUND(C4*0.15,2),"0.00")&amp;"                      "&amp;TEXT(ROUND(C2*0.05,2),"0.00")</f>
        <v>0.00                          0.00                      0.00</v>
      </c>
      <c r="D5" s="11" t="str">
        <f>TEXT(ROUND(D4*0.15+Bp*0.05,2),"0.00")&amp;"                      "&amp;TEXT(ROUND(D4*0.15,2),"0.00")&amp;"                      "&amp;TEXT(ROUND(Bp*0.05,2),"0.00")</f>
        <v>0.00                      0.00                      0.00</v>
      </c>
      <c r="E5" s="11" t="str">
        <f>TEXT(ROUND(C4*0.15+C2*0.05,2)+ROUND(D4*0.15+Bp*0.05,2),"0.00")&amp;"                      "&amp;TEXT(ROUND(C4*0.15,2)+ROUND(D4*0.15,2),"0.00")&amp;"                      "&amp;TEXT(ROUND(C2*0.05,2)+ROUND(Bp*0.05,2),"0.00")</f>
        <v>0.00                      0.00                      0.00</v>
      </c>
      <c r="J5" s="16"/>
    </row>
    <row r="6" spans="1:10" x14ac:dyDescent="0.25">
      <c r="A6" s="8" t="s">
        <v>6</v>
      </c>
      <c r="B6" s="12" t="s">
        <v>18</v>
      </c>
      <c r="C6" s="10">
        <f>C2-(C4*0.15+C2*0.05)</f>
        <v>0</v>
      </c>
      <c r="D6" s="10" cm="1">
        <f t="array" ref="D6">_xlfn.IFS(N&lt;=O,N,AND(N&gt;O,N&lt;=5000*(1/KpN)+O),(N-O)*KpN+O,N&gt;5000*(1/KpN)+O,5000+O+(N-(5000-5000*NPS+O))*KpV)</f>
        <v>0</v>
      </c>
      <c r="E6" s="10">
        <f>C6+D6</f>
        <v>0</v>
      </c>
    </row>
    <row r="7" spans="1:10" x14ac:dyDescent="0.25">
      <c r="A7" s="8" t="s">
        <v>7</v>
      </c>
      <c r="B7" s="12" t="s">
        <v>25</v>
      </c>
      <c r="C7" s="2">
        <v>0</v>
      </c>
      <c r="D7" s="2">
        <v>0</v>
      </c>
      <c r="E7" s="10">
        <f t="shared" ref="E7:E15" si="0">C7+D7</f>
        <v>0</v>
      </c>
    </row>
    <row r="8" spans="1:10" x14ac:dyDescent="0.25">
      <c r="A8" s="8" t="s">
        <v>8</v>
      </c>
      <c r="B8" s="12" t="s">
        <v>19</v>
      </c>
      <c r="C8" s="10">
        <f>C6-C7</f>
        <v>0</v>
      </c>
      <c r="D8" s="10">
        <f>D-O</f>
        <v>0</v>
      </c>
      <c r="E8" s="10">
        <f t="shared" si="0"/>
        <v>0</v>
      </c>
    </row>
    <row r="9" spans="1:10" ht="30" x14ac:dyDescent="0.25">
      <c r="A9" s="8" t="s">
        <v>9</v>
      </c>
      <c r="B9" s="9" t="s">
        <v>20</v>
      </c>
      <c r="C9" s="10">
        <f>IF(C8&lt;=5000,C8*NPS,5000*NPS)</f>
        <v>0</v>
      </c>
      <c r="D9" s="10">
        <f>IF(C8+D8&lt;=5000,D8*NPS,0)</f>
        <v>0</v>
      </c>
      <c r="E9" s="10">
        <f t="shared" si="0"/>
        <v>0</v>
      </c>
    </row>
    <row r="10" spans="1:10" ht="30" x14ac:dyDescent="0.25">
      <c r="A10" s="8" t="s">
        <v>10</v>
      </c>
      <c r="B10" s="9" t="s">
        <v>21</v>
      </c>
      <c r="C10" s="10">
        <f>IF(C8&gt;5000,(C8-5000)*VPS,0)</f>
        <v>0</v>
      </c>
      <c r="D10" s="10">
        <f>IF(C8+D8&gt;5000,(C8+D8-5000)*VPS,0)</f>
        <v>0</v>
      </c>
      <c r="E10" s="10">
        <f t="shared" si="0"/>
        <v>0</v>
      </c>
    </row>
    <row r="11" spans="1:10" x14ac:dyDescent="0.25">
      <c r="A11" s="8" t="s">
        <v>11</v>
      </c>
      <c r="B11" s="12" t="s">
        <v>22</v>
      </c>
      <c r="C11" s="10">
        <f>C9+C10</f>
        <v>0</v>
      </c>
      <c r="D11" s="10">
        <f>D9+D10</f>
        <v>0</v>
      </c>
      <c r="E11" s="10">
        <f t="shared" si="0"/>
        <v>0</v>
      </c>
    </row>
    <row r="12" spans="1:10" x14ac:dyDescent="0.25">
      <c r="A12" s="8" t="s">
        <v>12</v>
      </c>
      <c r="B12" s="12" t="s">
        <v>28</v>
      </c>
      <c r="C12" s="10">
        <f>C6-C11</f>
        <v>0</v>
      </c>
      <c r="D12" s="10"/>
      <c r="E12" s="10">
        <f>C12</f>
        <v>0</v>
      </c>
    </row>
    <row r="13" spans="1:10" x14ac:dyDescent="0.25">
      <c r="A13" s="8" t="s">
        <v>13</v>
      </c>
      <c r="B13" s="12" t="s">
        <v>30</v>
      </c>
      <c r="C13" s="10"/>
      <c r="D13" s="2">
        <v>0</v>
      </c>
      <c r="E13" s="10">
        <f>D13</f>
        <v>0</v>
      </c>
    </row>
    <row r="14" spans="1:10" ht="30" x14ac:dyDescent="0.25">
      <c r="A14" s="8" t="s">
        <v>14</v>
      </c>
      <c r="B14" s="9" t="s">
        <v>23</v>
      </c>
      <c r="C14" s="10">
        <f>C2*0.165</f>
        <v>0</v>
      </c>
      <c r="D14" s="10">
        <f>Bp*0.165</f>
        <v>0</v>
      </c>
      <c r="E14" s="10">
        <f t="shared" si="0"/>
        <v>0</v>
      </c>
    </row>
    <row r="15" spans="1:10" ht="30" x14ac:dyDescent="0.25">
      <c r="A15" s="13" t="s">
        <v>15</v>
      </c>
      <c r="B15" s="14" t="s">
        <v>24</v>
      </c>
      <c r="C15" s="15">
        <f>C2+C14</f>
        <v>0</v>
      </c>
      <c r="D15" s="15">
        <f>(Bp-D3)*0.15+Bp*0.05+D11+D14</f>
        <v>0</v>
      </c>
      <c r="E15" s="10">
        <f t="shared" si="0"/>
        <v>0</v>
      </c>
    </row>
  </sheetData>
  <sheetProtection algorithmName="SHA-512" hashValue="xF+pF72+pbG8UiZLzVEm+89awtTEt9wZVfPi9Va9eHtBjHEFlsRoXt2vSU+foz2/+kiNMEUbP8gOb74b/GN2Dw==" saltValue="rkdDQups5nulUIzmBe/lB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Kalkulacija plaće</vt:lpstr>
      <vt:lpstr>Bp</vt:lpstr>
      <vt:lpstr>D</vt:lpstr>
      <vt:lpstr>N</vt:lpstr>
      <vt:lpstr>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Marko Horvat</dc:creator>
  <cp:lastModifiedBy>Marko Horvat</cp:lastModifiedBy>
  <dcterms:created xsi:type="dcterms:W3CDTF">2015-06-05T18:17:20Z</dcterms:created>
  <dcterms:modified xsi:type="dcterms:W3CDTF">2025-11-13T20:26:54Z</dcterms:modified>
</cp:coreProperties>
</file>